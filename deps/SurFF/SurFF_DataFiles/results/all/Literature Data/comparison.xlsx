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defaultThemeVersion="202300"/>
  <mc:AlternateContent xmlns:mc="http://schemas.openxmlformats.org/markup-compatibility/2006">
    <mc:Choice Requires="x15">
      <x15ac:absPath xmlns:x15ac="http://schemas.microsoft.com/office/spreadsheetml/2010/11/ac" url="https://nusu-my.sharepoint.com/personal/e0253690_u_nus_edu/Documents/Pyprojects/Intermetallic_Crystal_Nanoparticle_Model/results/all/"/>
    </mc:Choice>
  </mc:AlternateContent>
  <xr:revisionPtr revIDLastSave="85" documentId="8_{9D9ABB45-9954-4C0C-A4AD-0F916B7D3BC2}" xr6:coauthVersionLast="47" xr6:coauthVersionMax="47" xr10:uidLastSave="{A12E618B-E5EA-4AB3-AEAD-B49819C90A64}"/>
  <bookViews>
    <workbookView xWindow="28680" yWindow="-120" windowWidth="29040" windowHeight="15720" activeTab="1" xr2:uid="{904BF9B7-9F65-4CAD-B625-1669DB15B2D5}"/>
  </bookViews>
  <sheets>
    <sheet name="comparison" sheetId="2" r:id="rId1"/>
    <sheet name="Sheet1" sheetId="3" r:id="rId2"/>
  </sheets>
  <definedNames>
    <definedName name="ExternalData_1" localSheetId="0" hidden="1">'comparison'!$A$1:$G$27</definedName>
    <definedName name="ExternalData_1" localSheetId="1" hidden="1">Sheet1!$A$1:$E$27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8" i="3" l="1"/>
  <c r="F28" i="3"/>
  <c r="I28" i="2"/>
  <c r="H28"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4C8C40A-DE22-4D15-98B5-F69EE75327F1}" keepAlive="1" name="Query - comparison" description="Connection to the 'comparison' query in the workbook." type="5" refreshedVersion="8" background="1" saveData="1">
    <dbPr connection="Provider=Microsoft.Mashup.OleDb.1;Data Source=$Workbook$;Location=comparison;Extended Properties=&quot;&quot;" command="SELECT * FROM [comparison]"/>
  </connection>
  <connection id="2" xr16:uid="{2F56AA45-D23F-4FD6-BAB3-CD3257C633A4}" keepAlive="1" name="Query - comparison (2)" description="Connection to the 'comparison (2)' query in the workbook." type="5" refreshedVersion="8" background="1" saveData="1">
    <dbPr connection="Provider=Microsoft.Mashup.OleDb.1;Data Source=$Workbook$;Location=&quot;comparison (2)&quot;;Extended Properties=&quot;&quot;" command="SELECT * FROM [comparison (2)]"/>
  </connection>
</connections>
</file>

<file path=xl/sharedStrings.xml><?xml version="1.0" encoding="utf-8"?>
<sst xmlns="http://schemas.openxmlformats.org/spreadsheetml/2006/main" count="332" uniqueCount="168">
  <si>
    <t>key</t>
  </si>
  <si>
    <t>value</t>
  </si>
  <si>
    <t>phase</t>
  </si>
  <si>
    <t>url</t>
  </si>
  <si>
    <t>proof</t>
  </si>
  <si>
    <t>mp_id</t>
  </si>
  <si>
    <t>predicted</t>
  </si>
  <si>
    <t>NiGa</t>
  </si>
  <si>
    <t>[['(110)']]</t>
  </si>
  <si>
    <t>bcc</t>
  </si>
  <si>
    <t>https://pubs.acs.org/doi/10.1021/acscatal.0c01261</t>
  </si>
  <si>
    <t>['The bulk compositions of as-reduced SiO2-supported Ni + Ga IMCs (Ni3Ga/SiO2, Ni5Ga3/SiO2, and NiGa/SiO2) were all nearly phase pure. After the annealing pretreatment, bulk phases of Ni3Ga/SiO2 and NiGa/SiO2 were retained. Computational surface science studies were employed to correlate the basic surface chemical features with the observed catalytic activity and selectivity of the Ni + Ga IMCs.']</t>
  </si>
  <si>
    <t>mp-1941</t>
  </si>
  <si>
    <t xml:space="preserve">Miller_index, shift, surface_energy_pred, area_pred
(1, 1, 1), 0.25, 0.08667, 0.0
(1, 1, 0), 0.5, 0.0715, 0.61144
(1, 0, 0), 0.25, 0.10465, 0.0
(2, 2, 1), 0.125, 0.08348, 0.0
(2, 1, 1), 0.25, 0.07747, 0.38856
(2, 1, 0), 0.125, 0.0886, 0.0
</t>
  </si>
  <si>
    <t>InPd</t>
  </si>
  <si>
    <t>[['(100)']]</t>
  </si>
  <si>
    <t>https://pubs.acs.org/doi/10.1021/acscatal.0c04073</t>
  </si>
  <si>
    <t>mp-21215</t>
  </si>
  <si>
    <t xml:space="preserve">Miller_index, shift, surface_energy_pred, area_pred
(1, 1, 1), 0.25, 0.05919, 0.0
(1, 1, 0), 0.5, 0.04484, 1.0
(1, 0, 0), 0.25, 0.06917, 0.0
(2, 2, 1), 0.125, 0.05497, 0.0
(2, 1, 1), 0.25, 0.05424, 0.0
(2, 1, 0), 0.125, 0.06146, 0.0
</t>
  </si>
  <si>
    <t>Pt3Sn</t>
  </si>
  <si>
    <t>fcc</t>
  </si>
  <si>
    <t>['https://pubs.acs.org/doi/10.1021/acscatal.0c05370', 'https://pubs.acs.org/doi/10.1021/acscatal.1c00639']</t>
  </si>
  <si>
    <t>['The X-ray diffraction (XRD) patterns of the acetic-acid-treated and the thermally treated nanocubes are shown in Figure 1a. The XRD patterns normalized by the 111 peak were used to calculate the degree of ordering from the ratio of (110) diffraction peak integration to its initial value as this peak is characteristic of the L12 ordered structure (highlighted in Figure 1b). The low-magnification transmission electron microscopy (TEM) image in Figure S1a and the histogram in Figure S1b show that 87% of the nanoparticles are cubic in shape, which are bounded by the {100} facets.', 'With Sn addition, diffraction peaks of (111) and (200) shift to a lower diffraction angle (Figure 1c). The degrees of the diffraction pattern from Pt-Sn/SBA-15 differ from the one of intermetallic Pt3Sn because disordered a Pt3Sn alloy phase formed. Fringe spacings expanded from 0.225 nm of Pt(111) (Figure 1a) to 0.237 nm of Pt3Sn(111) (Figure 1b). These phenomena indicate that the relatively larger Sn atoms were incorporated into the Pt lattice to form a disordered Pt3Sn alloy with the face-centered cubic (fcc) configuration maintained. (11,28,47,48)']</t>
  </si>
  <si>
    <t>mp-20971</t>
  </si>
  <si>
    <t xml:space="preserve">Miller_index, shift, surface_energy_pred, area_pred
(1, 1, 1), 0.5, 0.07677, 0.24667
(1, 1, 0), 0.25, 0.08715, 0.01364
(1, 0, 0), 0.25, 0.09433, 0.01308
(2, 2, 1), 0.125, 0.08264, 0.13303
(2, 1, 1), 0.125, 0.08113, 0.59358
(2, 1, 0), 0.125, 0.09555, 0.0
</t>
  </si>
  <si>
    <t>InNi</t>
  </si>
  <si>
    <t>[['(110)','(201)']]</t>
  </si>
  <si>
    <t>InNi': 'PDF# 07-0178</t>
  </si>
  <si>
    <t>['https://pubs.acs.org/doi/10.1021/acscatal.2c00671']</t>
  </si>
  <si>
    <t>mp-20997</t>
  </si>
  <si>
    <t xml:space="preserve">Miller_index, shift, surface_energy_pred, area_pred
(1, 1, 1), 0.25, 0.07558, 0.0
(1, 1, 0), 0.5, 0.05973, 1.0
(1, 0, 0), 0.25, 0.09135, 0.0
(2, 2, 1), 0.125, 0.07273, 0.0
(2, 1, 1), 0.25, 0.06981, 0.0
(2, 1, 0), 0.125, 0.07911, 0.0
</t>
  </si>
  <si>
    <t>InNi2</t>
  </si>
  <si>
    <t>InNi2': 'PDF# 42-1033</t>
  </si>
  <si>
    <t>mp-21092</t>
  </si>
  <si>
    <t xml:space="preserve">Miller_index, shift, surface_energy_pred, area_pred
(1, 1, 1), 0.125, 0.08891, 0.0
(1, 1, 0), 0.5, 0.07312, 0.67333
(2, 1, 2), 0.25, 0.08685, 0.0
(2, 1, 1), 0.02083, 0.08825, 0.0
(2, 1, 1), 0.125, 0.08882, 0.0
(2, 1, 1), 0.22917, 0.08706, 0.0
(2, 1, 0), 0.08333, 0.08268, 0.0
(2, 1, 0), 0.25, 0.08573, 0.0
(2, 0, 1), 0.02083, 0.09398, 0.0
(2, 0, 1), 0.125, 0.0939, 0.0
(2, 0, 1), 0.22917, 0.09163, 0.0
(2, -1, 2), 0.125, 0.09354, 0.01204
(1, 0, 1), 0.04167, 0.08871, 0.0
(1, 0, 2), 0.04167, 0.09451, 0.11156
(1, 0, 2), 0.25, 0.08121, 0.0
(1, 0, 1), 0.25, 0.09705, 0.0
(1, 0, 1), 0.45833, 0.08493, 0.0
(1, 0, 0), 0.16667, 0.08753, 0.0
(1, 0, 0), 0.5, 0.0819, 0.0
(0, 0, 1), 0.125, 0.08512, 0.20306
(2, 2, 1), 0.0625, 0.08335, 0.0
(2, 1, 2), 0.04167, 0.09401, 0.0
</t>
  </si>
  <si>
    <t>In3Ni2</t>
  </si>
  <si>
    <t>In3Ni2': 'PDF# 65-7718</t>
  </si>
  <si>
    <t>mp-21385</t>
  </si>
  <si>
    <t xml:space="preserve">Miller_index, shift, surface_energy_pred, area_pred
(1, 1, 1), 0.07058, 0.06447, 0.0
(1, 1, 1), 0.24755, 0.06299, 0.0
(0, 0, 1), 0.5, 0.06683, 0.0
(2, 2, 1), 0.03529, 0.06242, 0.0
(2, 2, 1), 0.12377, 0.06024, 0.0
(2, 2, 1), 0.25, 0.05695, 0.0
(2, 1, 2), 0.09608, 0.06703, 0.00091
(2, 1, 2), 0.25, 0.06583, 0.0
(2, 1, 1), 0.11862, 0.06278, 0.22538
(2, 1, 0), 0.08333, 0.06001, 0.0
(2, 1, 0), 0.25, 0.06212, 0.0
(2, 0, 1), 0.04804, 0.07113, 0.0
(1, 1, 1), 0.5, 0.05983, 0.0
(2, 0, 1), 0.12623, 0.06931, 0.0
(2, 0, 1), 0.25, 0.07179, 0.0
(2, -1, 2), 0.07058, 0.06464, 0.0
(2, -1, 2), 0.25, 0.06727, 0.0
(1, 0, 2), 0.09608, 0.07169, 0.0
(1, 0, 2), 0.25, 0.0786, 0.0
(1, 1, 0), 0.5, 0.05507, 0.77371
(1, 0, 1), 0.23725, 0.07179, 0.0
(1, 0, 1), 0.5, 0.07486, 0.0
(1, 0, 0), 0.16667, 0.06336, 0.0
(1, 0, 0), 0.5, 0.06967, 0.0
(0, 0, 1), 0.07058, 0.07216, 0.0
(0, 0, 1), 0.24755, 0.0767, 0.0
</t>
  </si>
  <si>
    <t>InNi3</t>
  </si>
  <si>
    <t>[['(201)']]</t>
  </si>
  <si>
    <t>InNi3': 'PDF# 65-3522</t>
  </si>
  <si>
    <t>mp-22784</t>
  </si>
  <si>
    <t xml:space="preserve">Miller_index, shift, surface_energy_pred, area_pred
(1, 1, 1), 0.5, 0.08645, 0.6949
(1, 1, 0), 0.25, 0.10962, 0.0
(1, 0, 0), 0.25, 0.11411, 0.03298
(2, 2, 1), 0.125, 0.09908, 0.02822
(2, 1, 1), 0.125, 0.10114, 0.22641
(2, 1, 0), 0.125, 0.11017, 0.01749
</t>
  </si>
  <si>
    <t>CoFe</t>
  </si>
  <si>
    <t>[['(1 1 0)', (221)]]</t>
  </si>
  <si>
    <t>['https://pubs.acs.org/doi/10.1021/acscatal.5b02296']</t>
  </si>
  <si>
    <t>mp-2090</t>
  </si>
  <si>
    <t xml:space="preserve">Miller_index, shift, surface_energy_pred, area_pred
(1, 1, 1), 0.25, 0.16396, 0.001
(1, 1, 0), 0.5, 0.14419, 0.5746
(1, 0, 0), 0.25, 0.16243, 0.09018
(2, 2, 1), 0.125, 0.15852, 0.0362
(2, 1, 1), 0.25, 0.15642, 0.25479
(2, 1, 0), 0.125, 0.16129, 0.04323
</t>
  </si>
  <si>
    <t>PdZn</t>
  </si>
  <si>
    <t>[101]</t>
  </si>
  <si>
    <t>ICDD-PDF 00-006-0620</t>
  </si>
  <si>
    <t>https://pubs.acs.org/doi/10.1021/acscatal.6b01677'</t>
  </si>
  <si>
    <t xml:space="preserve">These images clearly show lattice fringes [spacing of 2.22 nm (Figure 2d, yellow lines)] that correspond to those of the PdZn(101) planes [2.19 nm, ICDD-PDF 00-006-0620 (Figure 2d, light blue lines)]. </t>
  </si>
  <si>
    <t>mp-1652</t>
  </si>
  <si>
    <t xml:space="preserve">Miller_index, shift, surface_energy_pred, area_pred
(1, 1, 1), 0.25, 0.08884, 0.0
(1, 1, 0), 0.5, 0.0726, 0.22822
(1, 1, 2), 0.25, 0.08242, 0.0
(1, 0, 2), 0.125, 0.08524, 0.0
(1, 0, 1), 0.5, 0.06858, 0.67571
(1, 0, 0), 0.25, 0.08853, 0.0
(0, 0, 1), 0.25, 0.09164, 0.01539
(2, 2, 1), 0.125, 0.08411, 0.0
(2, 1, 2), 0.125, 0.08174, 0.00108
(2, 1, 1), 0.25, 0.08213, 0.0
(2, 1, 0), 0.125, 0.08632, 0.0
(2, 0, 1), 0.125, 0.07641, 0.07961
</t>
  </si>
  <si>
    <t>PdCu</t>
  </si>
  <si>
    <t>[111]</t>
  </si>
  <si>
    <t>https://pubs.acs.org/doi/10.1021/acscatal.8b03106</t>
  </si>
  <si>
    <t>mp-1225656</t>
  </si>
  <si>
    <t xml:space="preserve">Miller_index, shift, surface_energy_pred, area_pred
(1, 1, 1), 0.5, 0.08441, 0.25815
(1, 1, 0), 0.25, 0.08823, 0.07276
(2, 1, 0), 0.125, 0.09524, 0.00275
(2, 0, 1), 0.125, 0.09339, 0.01599
(1, 2, 2), 0.125, 0.08912, 0.13844
(1, 2, 1), 0.125, 0.09337, 0.04228
(1, 2, 0), 0.125, 0.09839, 0.00213
(1, 1, 2), 0.125, 0.09122, 0.02439
(1, 0, 2), 0.125, 0.09479, 0.0008
(0, 2, 1), 0.125, 0.09691, 0.02131
(0, 1, 2), 0.125, 0.09479, 0.00076
(1, 0, 1), 0.25, 0.08896, 0.0548
(1, 0, 0), 0.25, 0.09691, 0.00535
(0, 1, 1), 0.25, 0.09478, 0.02689
(0, 1, 0), 0.25, 0.09013, 0.09449
(0, 0, 1), 0.25, 0.07938, 0.14848
(2, 2, 1), 0.125, 0.08809, 0.04406
(2, 1, 2), 0.125, 0.08897, 0.0135
(2, 1, 1), 0.125, 0.0916, 0.03267
</t>
  </si>
  <si>
    <t>[110],[001]</t>
  </si>
  <si>
    <t>https://www.nature.com/articles/s41929-022-00757-8</t>
  </si>
  <si>
    <t>mp-1018029</t>
  </si>
  <si>
    <t xml:space="preserve">Miller_index, shift, surface_energy_pred, area_pred
(1, 1, 1), 0.25, 0.10318, 0.0
(1, 1, 0), 0.5, 0.08645, 0.65755
(1, 0, 0), 0.25, 0.09995, 0.05929
(2, 2, 1), 0.125, 0.0947, 0.0961
(2, 1, 1), 0.25, 0.09667, 0.09173
(2, 1, 0), 0.125, 0.097, 0.09533
</t>
  </si>
  <si>
    <t>Pt3Co</t>
  </si>
  <si>
    <t>(111) and (200)</t>
  </si>
  <si>
    <t>https://pubs.acs.org/doi/10.1021/acscatal.9b04419</t>
  </si>
  <si>
    <t>mp-922</t>
  </si>
  <si>
    <t xml:space="preserve">Miller_index, shift, surface_energy_pred, area_pred
(1, 1, 1), 0.5, 0.10574, 0.38914
(1, 1, 0), 0.25, 0.12684, 0.0
(1, 0, 0), 0.25, 0.12987, 0.05199
(2, 2, 1), 0.125, 0.11509, 0.21482
(2, 1, 1), 0.125, 0.11768, 0.34405
(2, 1, 0), 0.125, 0.13691, 0.0
</t>
  </si>
  <si>
    <t>Pt2In3</t>
  </si>
  <si>
    <t>(110) and (102)</t>
  </si>
  <si>
    <t>https://www-nature-com.libproxy1.nus.edu.sg/articles/s41929-021-00730-x</t>
  </si>
  <si>
    <t>mp-1069815</t>
  </si>
  <si>
    <t xml:space="preserve">Miller_index, shift, surface_energy_pred, area_pred
(1, 1, 1), 0.08135, 0.05759, 0.0
(1, 1, 1), 0.25614, 0.05638, 0.0
(2, 2, 1), 0.04067, 0.05399, 0.0
(2, 2, 1), 0.12807, 0.05348, 0.0
(2, 2, 1), 0.25, 0.05127, 0.0
(2, 1, 2), 0.08532, 0.06079, 0.0
(2, 1, 2), 0.25, 0.06029, 0.0
(2, 1, 1), 0.11994, 0.05702, 0.06701
(2, 1, 0), 0.08333, 0.05259, 0.0
(2, 1, 0), 0.25, 0.05492, 0.0
(2, 0, 1), 0.04266, 0.06432, 0.0
(2, 0, 1), 0.12193, 0.06199, 0.0
(1, 1, 1), 0.5, 0.05349, 0.0
(2, 0, 1), 0.25, 0.06478, 0.0
(2, -1, 2), 0.08135, 0.0576, 0.0
(2, -1, 2), 0.25, 0.0619, 0.0
(1, 0, 2), 0.08532, 0.06321, 0.0
(1, 0, 2), 0.25, 0.06879, 0.0
(1, 1, 0), 0.5, 0.04817, 0.93299
(1, 0, 1), 0.23989, 0.06639, 0.0
(1, 0, 0), 0.16667, 0.05461, 0.0
(1, 0, 0), 0.5, 0.06209, 0.0
(0, 0, 1), 0.08135, 0.06223, 0.0
(0, 0, 1), 0.25614, 0.06874, 0.0
(0, 0, 1), 0.5, 0.05529, 0.0
</t>
  </si>
  <si>
    <t>PtSn</t>
  </si>
  <si>
    <t>(10-10)</t>
  </si>
  <si>
    <t>https://www.sciencedirect.com/science/article/pii/S0021951717303627'</t>
  </si>
  <si>
    <t>mp-19856</t>
  </si>
  <si>
    <t xml:space="preserve">Miller_index, shift, surface_energy_pred, area_pred
(1, 1, 1), 0.125, 0.06232, 0.01637
(1, 1, 0), 0.5, 0.06088, 0.35669
(2, 1, 1), 0.10417, 0.06262, 0.0
(2, 1, 1), 0.22917, 0.07047, 0.0
(2, 1, 0), 0.08333, 0.06356, 0.0
(2, 1, 0), 0.25, 0.05572, 0.0
(2, 0, 1), 0.02083, 0.05878, 0.0
(2, 0, 1), 0.14583, 0.07518, 0.0
(2, -1, 2), 0.125, 0.06572, 0.0
(1, 0, 2), 0.04167, 0.07044, 0.49303
(1, 0, 2), 0.25, 0.0609, 0.0
(1, 0, 1), 0.20833, 0.05907, 0.0
(1, 0, 1), 0.45833, 0.08481, 0.0
(1, 0, 0), 0.16667, 0.08137, 0.0
(1, 0, 0), 0.5, 0.04908, 0.0
(0, 0, 1), 0.125, 0.08853, 0.0
(2, 2, 1), 0.0625, 0.06193, 0.13391
(2, 1, 2), 0.04167, 0.06125, 0.0
(2, 1, 2), 0.25, 0.06653, 0.0
</t>
  </si>
  <si>
    <t>https://www.sciencedirect.com/science/article/pii/S0021951718300861</t>
  </si>
  <si>
    <t>'The HR-TEM analysis shows the presence of lattice fringes with a d-spacing value of 0.225 nm and 0.21 nm corresponding to the (111) plane of Pd and (111) plane of CuPd. The SAED pattern shows prominent ring patterns corresponding to the fcc CuPd structure and cubic MgO.'</t>
  </si>
  <si>
    <t>mp-580357</t>
  </si>
  <si>
    <t xml:space="preserve">Miller_index, shift, surface_energy_pred, area_pred
(1, 1, 1), 0.5, 0.08263, 0.52145
(1, 1, 0), 0.25, 0.09736, 0.0
(1, 0, 0), 0.25, 0.0932, 0.19956
(2, 2, 1), 0.125, 0.0917, 0.15461
(2, 1, 1), 0.125, 0.09406, 0.11525
(2, 1, 0), 0.125, 0.10153, 0.00913
</t>
  </si>
  <si>
    <t>CoPt3</t>
  </si>
  <si>
    <t>['https://www.sciencedirect.com/science/article/pii/S002195171830126X']</t>
  </si>
  <si>
    <t>ZnPd</t>
  </si>
  <si>
    <t>Tetragonal P4/mmm</t>
  </si>
  <si>
    <t>https://www.sciencedirect.com/science/article/pii/S0021951719306153</t>
  </si>
  <si>
    <t>['For PdZn_Ordered, the lattice fringes with interplanar distances of 0.121 nm, 0.205 nm, 0.219 nm, and 0.290 nm are in good agreement with PdZn(3 1 1), PdZn(2 0 0), PdZn(1 1 1), and PdZn(1 1 0) crystal planes. For Pd@Zn_Core-shell, the interplanar distances of 0.138 nm, 0.195 nm, and 0.225 nm correspond well with Pd(2 2 0), Pd(2 0 0), and Pd(1 1 1) crystal planes, respectively.']</t>
  </si>
  <si>
    <t>Ni3Cu</t>
  </si>
  <si>
    <t>(1 1 1)</t>
  </si>
  <si>
    <t>Tetragonal I4/mmm</t>
  </si>
  <si>
    <t>['https://www.sciencedirect.com/science/article/pii/S0021951720300208']</t>
  </si>
  <si>
    <t>mp-1184054</t>
  </si>
  <si>
    <t xml:space="preserve">Miller_index, shift, surface_energy_pred, area_pred
(1, 1, 1), 0.125, 0.12491, 0.00221
(1, 1, 0), 0.25, 0.13216, 0.0
(2, 1, 0), 0.125, 0.14108, 0.0
(2, 0, 1), 0.0625, 0.13972, 0.0
(1, 1, 2), 0.25, 0.11042, 0.7771
(1, 0, 2), 0.125, 0.1322, 0.03576
(1, 0, 1), 0.125, 0.13821, 0.0
(1, 0, 1), 0.375, 0.14434, 0.0
(1, 0, 0), 0.25, 0.12622, 0.09038
(0, 0, 1), 0.125, 0.1288, 0.09304
(2, 2, 1), 0.0625, 0.1299, 0.00151
(2, 1, 2), 0.125, 0.12913, 0.0
(2, 1, 1), 0.0625, 0.12347, 0.0
(2, 1, 1), 0.1875, 0.13382, 0.0
</t>
  </si>
  <si>
    <t>111, 200</t>
  </si>
  <si>
    <t>CoNiSe2</t>
  </si>
  <si>
    <t>101. 102</t>
  </si>
  <si>
    <t>['https://www.sciencedirect.com/science/article/pii/S0926337318309111']</t>
  </si>
  <si>
    <t>['The characteristic lattice fringers of CoNiSe2(101) and (102) are clearly observed (Fig. 1b).']</t>
  </si>
  <si>
    <t>mp-1226013</t>
  </si>
  <si>
    <t xml:space="preserve">Miller_index, shift, surface_energy_pred, area_pred
(1, 1, 1), 0.13158, 0.11013, 0.0
(1, 1, 1), 0.38158, 0.11242, 0.0
(2, 2, 1), 0.19079, 0.11263, 0.0
(2, 1, 2), 0.03509, 0.10993, 0.0
(2, 1, 2), 0.25, 0.10591, 0.0
(2, 1, 1), 0.10088, 0.11006, 0.09467
(2, 1, 1), 0.22588, 0.10923, 0.0
(2, 1, 0), 0.08333, 0.10925, 0.0
(2, 1, 0), 0.25, 0.11087, 0.0
(2, 0, 1), 0.01754, 0.10463, 0.0
(2, 0, 1), 0.14254, 0.10502, 0.0
(2, -1, 2), 0.13158, 0.10861, 0.0
(1, 1, 0), 0.5, 0.11319, 0.0
(1, 0, 2), 0.03509, 0.10963, 0.67571
(1, 0, 2), 0.25, 0.10229, 0.0
(1, 0, 1), 0.20175, 0.09666, 0.0
(1, 0, 1), 0.45175, 0.12248, 0.0
(1, 0, 0), 0.16667, 0.10613, 0.22962
(1, 0, 0), 0.5, 0.0992, 0.0
(0, 0, 1), 0.13158, 0.12279, 0.0
(0, 0, 1), 0.38158, 0.13453, 0.0
(2, 2, 1), 0.06579, 0.11222, 0.0
</t>
  </si>
  <si>
    <t>['https://www.sciencedirect.com/science/article/pii/S0926337319300682']</t>
  </si>
  <si>
    <t>mp-1186117</t>
  </si>
  <si>
    <t xml:space="preserve">Miller_index, shift, surface_energy_pred, area_pred
(1, 1, 1), 0.5, 0.10061, 0.4498
(1, 1, 0), 0.25, 0.12267, 0.0
(1, 0, 0), 0.25, 0.12332, 0.08257
(2, 2, 1), 0.125, 0.10994, 0.24451
(2, 1, 1), 0.125, 0.1148, 0.22311
(2, 1, 0), 0.125, 0.12855, 0.0
</t>
  </si>
  <si>
    <t>PdAu3</t>
  </si>
  <si>
    <t>['https://www.sciencedirect.com/science/article/pii/S0926337321002770']</t>
  </si>
  <si>
    <t>mp-973834</t>
  </si>
  <si>
    <t xml:space="preserve">Miller_index, shift, surface_energy_pred, area_pred
(1, 1, 1), 0.5, 0.05128, 0.81287
(1, 1, 0), 0.25, 0.06723, 0.0
(1, 0, 0), 0.25, 0.06688, 0.06838
(2, 2, 1), 0.125, 0.06299, 0.0
(2, 1, 1), 0.125, 0.06223, 0.04007
(2, 1, 0), 0.125, 0.06556, 0.07868
</t>
  </si>
  <si>
    <t>FeSe2</t>
  </si>
  <si>
    <t>Pnnm</t>
  </si>
  <si>
    <t>['https://www.sciencedirect.com/science/article/pii/S0926337321004069', 'https://www.sciencedirect.com/science/article/pii/S0926337321007633']</t>
  </si>
  <si>
    <t>mp-760</t>
  </si>
  <si>
    <t xml:space="preserve">Miller_index, shift, surface_energy_pred, area_pred
(1, 1, 1), 0.17524, 0.08904, 0.0
(1, 1, 1), 0.38281, 0.10003, 0.0
(0, 1, 1), 0.5, 0.08999, 0.0
(0, 1, 0), 0.10884, 0.10493, 0.0
(0, 1, 0), 0.25, 0.13304, 0.0
(0, 0, 1), 0.0664, 0.11843, 0.0
(0, 0, 1), 0.25, 0.11397, 0.0
(2, 2, 1), 0.04936, 0.09249, 0.0
(2, 2, 1), 0.15732, 0.1009, 0.0
(2, 1, 2), 0.12918, 0.09779, 0.0
(2, 1, 1), 0.03738, 0.10335, 0.0
(2, 1, 1), 0.14116, 0.09792, 0.0
(1, 1, 1), 0.45757, 0.10905, 0.0
(2, 1, 1), 0.25, 0.10045, 0.0
(2, 1, 0), 0.05442, 0.09929, 0.0105
(2, 1, 0), 0.125, 0.09698, 0.0
(2, 0, 1), 0.0332, 0.09256, 0.0
(2, 0, 1), 0.125, 0.09907, 0.0
(1, 2, 2), 0.05024, 0.09893, 0.0
(1, 2, 2), 0.17524, 0.10073, 0.0
(1, 2, 1), 0.01704, 0.09676, 0.0
(1, 2, 1), 0.0664, 0.09876, 0.0
(1, 2, 1), 0.25, 0.10902, 0.0
(1, 1, 0), 0.10884, 0.09847, 0.0
(1, 2, 0), 0.01616, 0.09644, 0.0
(1, 2, 0), 0.125, 0.10371, 0.0
(1, 1, 2), 0.14116, 0.10289, 0.00014
(1, 0, 2), 0.0586, 0.10208, 0.20713
(0, 2, 1), 0.04936, 0.11832, 0.0
(0, 2, 1), 0.15732, 0.12006, 0.0
(0, 2, 1), 0.23296, 0.10843, 0.0
(0, 1, 2), 0.12082, 0.09192, 0.78224
(1, 1, 0), 0.5, 0.10809, 0.0
(1, 0, 1), 0.1836, 0.09645, 0.0
(1, 0, 1), 0.5, 0.10272, 0.0
(1, 0, 0), 0.25, 0.10396, 0.0
(0, 1, 1), 0.07476, 0.10198, 0.0
(0, 1, 1), 0.28232, 0.10379, 0.0
</t>
  </si>
  <si>
    <t>CuNi</t>
  </si>
  <si>
    <t>['https://www.sciencedirect.com/science/article/pii/S092633732100850X']</t>
  </si>
  <si>
    <t>[['The XRD pattern of the fcc-Ni/C (Fig. 1a) shows diffraction peaks assigned to the fcc phase of Ni (PDF card no. 04-0850).', 'In the case of hcp-Ni/C, all the identified peaks can be indexed to the hcp phase of Ni (PDF card no. 45-1027).', 'The HRTEM image of hcp-CuNi/C (Fig. 2k) displays well-resolved lattice fringes with interplanar spacing of 0.187 nm indexed to the (0002) planes of the hcp phase of CuNi.']]</t>
  </si>
  <si>
    <t>mp-1184069</t>
  </si>
  <si>
    <t xml:space="preserve">Miller_index, shift, surface_energy_pred, area_pred
(1, 1, 1), 0.25, 0.127, 0.0
(1, 1, 0), 0.5, 0.12011, 0.01353
(2, 1, 1), 0.04167, 0.11673, 0.0
(2, 1, 1), 0.29167, 0.12414, 0.0
(2, 1, 0), 0.08333, 0.12879, 0.0
(2, 1, 0), 0.33333, 0.11643, 0.0
(2, 0, 1), 0.20833, 0.12769, 0.0
(2, 0, 1), 0.45833, 0.11069, 0.0
(2, -1, 2), 0.25, 0.12442, 0.01586
(1, 0, 2), 0.16667, 0.11795, 0.0
(1, 0, 2), 0.41667, 0.11827, 0.0
(1, 0, 1), 0.08333, 0.11178, 0.0
(1, 0, 1), 0.58333, 0.13282, 0.0
(1, 0, 0), 0.33333, 0.1101, 0.0
(1, 0, 0), 0.83333, 0.14084, 0.0
(0, 0, 1), 0.25, 0.10667, 0.97062
(2, 2, 1), 0.125, 0.12667, 0.0
(2, 1, 2), 0.16667, 0.12441, 0.0
(2, 1, 2), 0.41667, 0.1279, 0.0
</t>
  </si>
  <si>
    <t>['https://www.sciencedirect.com/science/article/pii/S0926337322004064']</t>
  </si>
  <si>
    <t>['The high-resolution TEM (HRTEM, Fig. 1d) image displays that atomic lattice stripes of the intermetallic OVs-Pd3Pb-2 catalyst and the lattice spacing is 0.23 nm, which can be considered as the (111) face of the intermetallic Pd3Pb.']</t>
  </si>
  <si>
    <t>mp-20849</t>
  </si>
  <si>
    <t xml:space="preserve">Miller_index, shift, surface_energy_pred, area_pred
(1, 1, 1), 0.5, 0.05861, 0.61028
(1, 1, 0), 0.25, 0.07023, 0.01015
(1, 0, 0), 0.25, 0.0704, 0.1152
(2, 2, 1), 0.125, 0.06641, 0.05759
(2, 1, 1), 0.125, 0.06731, 0.20678
(2, 1, 0), 0.125, 0.07508, 0.0
</t>
  </si>
  <si>
    <t>CoSe</t>
  </si>
  <si>
    <t>['https://www.sciencedirect.com/science/article/pii/S0926337323001467']</t>
  </si>
  <si>
    <t>['The observed lattice fringes of 0.26 nm in Fig. 5e can be assigned to the (101) plane of hexagonal CoSe. The results of diffraction spots and diffraction rings (inset in Fig. 5d), EDS mapping (Fig. 5f) and XRD patterns (Fig. S11b) suggest that CoSe NPs are successfully loaded onto CdSSe NWs.']</t>
  </si>
  <si>
    <t>mp-426</t>
  </si>
  <si>
    <t xml:space="preserve">Miller_index, shift, surface_energy_pred, area_pred
(1, 1, 1), 0.125, 0.11658, 0.12101
(1, 1, 0), 0.5, 0.12224, 0.0
(2, 1, 1), 0.10417, 0.12146, 0.0
(2, 1, 0), 0.08333, 0.11793, 0.0
(2, 1, 0), 0.25, 0.11825, 0.0
(2, 0, 1), 0.02083, 0.10873, 0.0
(2, 0, 1), 0.14583, 0.11471, 0.0
(2, -1, 2), 0.125, 0.11595, 0.15531
(1, 0, 2), 0.04167, 0.1206, 0.48775
(1, 0, 2), 0.25, 0.1134, 0.0
(1, 0, 1), 0.20833, 0.10663, 0.0
(1, 0, 1), 0.45833, 0.12949, 0.0
(1, 0, 0), 0.16667, 0.11445, 0.0
(1, 0, 0), 0.5, 0.10925, 0.0
(0, 0, 1), 0.125, 0.12592, 0.23594
(2, 2, 1), 0.0625, 0.12133, 0.0
(2, 1, 2), 0.04167, 0.11435, 0.0
(2, 1, 2), 0.25, 0.11665, 0.0
</t>
  </si>
  <si>
    <t>Column1</t>
  </si>
  <si>
    <t>Column2</t>
  </si>
  <si>
    <t>Column3</t>
  </si>
  <si>
    <t>Column4</t>
  </si>
  <si>
    <t>Column5</t>
  </si>
  <si>
    <t>Column6</t>
  </si>
  <si>
    <t>Column7</t>
  </si>
  <si>
    <t>['Additional HR-TEM micrographs showed small and well-dispersed InPd particles with diameters &lt; 10 nm, which are identified via their (100) spacing of d = 3.2 Å on highly crystalline In2O3 particles (Figure 3b).']</t>
  </si>
  <si>
    <t>['The single-crystal cell structural models for InNi, InNi2, InNi3, and In3Ni2 were built according to previous reports and the XRD results. (30,31) The geometry optimization and self-consistent field of the bulk In–Ni IMC convergence criterion were set as follows: energy = 10–6 eV and force = 0.001 eV/Å. The InNi (001), InNi2 (110), InNi3 (201), and In3Ni2 (110) surfaces were cut from the optimized cell and were modeled by four layers.']</t>
  </si>
  <si>
    <t>[['(110)'，''(212)]]</t>
  </si>
  <si>
    <t>['The lattice space between the two parallel planes of the Co–Fe alloy nanoparticles is 0.212 nm (Figure 3F), which is closely in accordance with the calculated value of 0.202 nm in (1 1 0) planes of the Co–Fe alloy in space group Pm3̅m (221).']</t>
  </si>
  <si>
    <t xml:space="preserve">A representative set of TEM and HRTEM images for as-synthesized PdCu NPs are shown in Figure 1g,h. The average size of the as-synthesized PdCu NPs was 4.2 ± 0.4 nm. As shown by the HR-TEM image in Figure 1h, the lattice fringe of 0.217 nm is characteristic of the (111) plane of the fcc structure. </t>
  </si>
  <si>
    <t xml:space="preserve">The fast Fourier-transform (FFT) pattern of the aberration-corrected HAADF–STEM images was consistent with the simulation results for CuPd in the [1 ‒1 0] direction (Supplementary Fig. 5). This confirmed that the HAADF–STEM images obtained were the projection along the [1 ‒1 0] direction that consisted of (110) and (001) planes of CuPd (Fig. 1c). </t>
  </si>
  <si>
    <t>The HRTEM image of PtCoGa nanoparticles on the surface of NWs is displayed in Figure 1e and the inset, where the spacings of the lattice measured to be 0.226 and 0.194 nm correspond to the (111) and (200) crystal facets of 4% Ga–Pt3Co, respectively, slightly larger than those of Pt3Co (0.222 and 0.192 nm).</t>
  </si>
  <si>
    <t>P3̅m1</t>
  </si>
  <si>
    <t xml:space="preserve">Figure 1j shows an HAADF-STEM image of a single Pt–Co–In nanoparticle, where a crystal structure with interplanar distances of 2.28 and 2.29 Å was observed. These values were close to those of the (110) and (102) planes of intermetallic Pt2In3 (Fig. 1j,k)33. </t>
  </si>
  <si>
    <t>P6₃/mmc</t>
  </si>
  <si>
    <t>The measured lattice distances correspond well with specific crystal facets associated with the corresponding intermetallic phases. We also acquired PXRD patterns to confirm the formation of the desired intermetallic phases for all iNPs (Fig. S2). The exact ratios of Pt to the secondary metal M are in good agreement with the theoretical values measured via ICP-MS (Table S1). Fig. 1. HRTEM and HAADF-STEM images of (a–c) PtSn@mSiO2, and (f–h) Pt3Sn@mSiO2; insets in (c) and (h) are, respectively, fast Fourier transform (FTT) patterns from [0001] direction for PtSn@mSiO2 and [110] direction for Pt3Sn@mSiO2; and elemental mappings of (d and e) PtSn@mSiO2, and (i and j) Pt3Sn@mSiO2.'</t>
  </si>
  <si>
    <t>111</t>
  </si>
  <si>
    <t>['The HRTEM images of the PtCo nanocubes display a lattice fringe of 0.18\u202fnm, which is ascribed to the (2\u202f0\u202f0) facet and slightly smaller than 0.196\u202fnm of Pt (2\u202f0\u202f0) facet (Fig. S1b–d). The corresponding fast Fourier transform (FFT) pattern of the PtCo nanocube (inset in Fig. S1d) shows a representative fcc structure viewed along the [0\u202f0\u202f1] zone axis.']</t>
  </si>
  <si>
    <t>['The peaks for NiCu0.33/C at 44.36 and 51.71° agree well with the simulated profiles for Ni3Cu alloy crystal and demonstrate the formation of NiCu0.33 alloy (Figure S5). The lattice spacings of 0.335 and 0.201 nm in the HR-TEM images of NiCu0.33/C correspond to the (2 2 0) plane of graphitic carbon and (1 1 1) plane of Ni3Cu alloy, respectively (Fig. 2).']</t>
  </si>
  <si>
    <t>Trigonal P3̅m1</t>
  </si>
  <si>
    <t>NiPt₃</t>
  </si>
  <si>
    <t>Cubic Pm3̅m</t>
  </si>
  <si>
    <t>['The XRD spectra of the three kinds of nanostructures show several intense peaks, which can be clearly assigned to (111), (200), (220) and (311) diffractions of face-centered-cubic (fcc) crystal type. Moreover, the lattice spacing (0.19 nm) observed from the single nanosheet [Figure S3(c, d)] coincides with the (200) crystals planes of Pt–Ni alloy. Based on the investigations above and the corresponding fast Fourier transform (FFT) pattern (Figure S3), we can infer that the nanosheets grow along the &lt;100&gt; direction and indicate that the cross double dumbbell nanostructures have a fine crystalline nature.']</t>
  </si>
  <si>
    <t>Pm3̅m</t>
  </si>
  <si>
    <t>['The powder X-ray diffraction (XRD) pattern of the bimetallic catalyst showed clear diffraction peaks at 38°, 44°, and 64°, which were assigned to the fcc structure of metallic gold. According to Scherrer equation, the particle size of the metallic gold was calculated to be approximately 3.6 nm. A weak diffraction peak of the fcc structure of Pd at about 40.1° can be also observed in the XRD pattern, indicating the formation of metallic palladium particles. Moreover, no peaks for the alloyed PdAu phase can be found in the XRD pattern. The Au and Pd mass content of the catalyst were determined to be 1.4 wt% and 1.9 wt% by the inductively coupled plasma-optical emission spectrometry (ICP-AES, Table 1). The broad diffraction peaks observed in XRD pattern were due to the relatively small size of nanoparticles and the low metal concentration in the carbon nanosphere. High resolution transmission electron microscopy (HRTEM) was also used to analyze the detailed structure of the metal particles. Fig. 1F represents the HRTEM micrograph of the bimetallic catalyst with two particles. The main surface of the particles is the (111) lattice plane. Two different lattice spacings roughly determined to be 2.33 ± 0.01 Å and 2.24 ± 0.01 Å were observed for these two particles, which is in good agreement with the (111) lattice spacings of metallic Au and Pd, respectively.']</t>
  </si>
  <si>
    <t>['The X-ray diffraction (XRD) pattern in Fig. S1b can be indexed as a cubic structure (JCPDS 09-234). The lattice fringe with an interplanar spacing of 2.6 Å was assigned to the (210) planes of the cubic CoSe2 nanostructures, indicating the maintained structures of Pd1-CoSe2 nanobelts during the Pd atom anchoring.', 'The TEM images further show the interplanar distance of 0.266 nm, which can be indexed to the (210) plane of NiSe2 [34], and the interplanar distance of 0.248 nm can be attributed to the (012) plane of FeSe2 [35], which confirms the successful construction of NiSe2/FeSe2 heterojunction. Moreover, the interlayer distance of 0.261 nm should be indexed into the (210) plane of CoSe2 [37] (Fig. S4d–f).']</t>
  </si>
  <si>
    <t>P6̅m2</t>
  </si>
  <si>
    <t>Pd₃Pb</t>
  </si>
  <si>
    <t>101</t>
  </si>
  <si>
    <t>Column8</t>
  </si>
  <si>
    <t>Column9</t>
  </si>
  <si>
    <t>Match</t>
  </si>
  <si>
    <t>Qty</t>
  </si>
  <si>
    <t>PdZn(2 0 0), PdZn(1 1 1), and PdZn(1 1 0)</t>
  </si>
  <si>
    <t>012</t>
  </si>
  <si>
    <t>002</t>
  </si>
  <si>
    <t>[['{100}'], '(111)']]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</si>
</sst>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charset val="134"/>
      <scheme val="minor"/>
    </font>
    <font>
      <sz val="11"/>
      <color theme="1"/>
      <name val="Aptos Narrow"/>
      <family val="2"/>
      <charset val="134"/>
      <scheme val="minor"/>
    </font>
    <font>
      <sz val="18"/>
      <color theme="3"/>
      <name val="Aptos Display"/>
      <family val="2"/>
      <charset val="134"/>
      <scheme val="major"/>
    </font>
    <font>
      <b/>
      <sz val="15"/>
      <color theme="3"/>
      <name val="Aptos Narrow"/>
      <family val="2"/>
      <charset val="134"/>
      <scheme val="minor"/>
    </font>
    <font>
      <b/>
      <sz val="13"/>
      <color theme="3"/>
      <name val="Aptos Narrow"/>
      <family val="2"/>
      <charset val="134"/>
      <scheme val="minor"/>
    </font>
    <font>
      <b/>
      <sz val="11"/>
      <color theme="3"/>
      <name val="Aptos Narrow"/>
      <family val="2"/>
      <charset val="134"/>
      <scheme val="minor"/>
    </font>
    <font>
      <sz val="11"/>
      <color rgb="FF006100"/>
      <name val="Aptos Narrow"/>
      <family val="2"/>
      <charset val="134"/>
      <scheme val="minor"/>
    </font>
    <font>
      <sz val="11"/>
      <color rgb="FF9C0006"/>
      <name val="Aptos Narrow"/>
      <family val="2"/>
      <charset val="134"/>
      <scheme val="minor"/>
    </font>
    <font>
      <sz val="11"/>
      <color rgb="FF9C5700"/>
      <name val="Aptos Narrow"/>
      <family val="2"/>
      <charset val="134"/>
      <scheme val="minor"/>
    </font>
    <font>
      <sz val="11"/>
      <color rgb="FF3F3F76"/>
      <name val="Aptos Narrow"/>
      <family val="2"/>
      <charset val="134"/>
      <scheme val="minor"/>
    </font>
    <font>
      <b/>
      <sz val="11"/>
      <color rgb="FF3F3F3F"/>
      <name val="Aptos Narrow"/>
      <family val="2"/>
      <charset val="134"/>
      <scheme val="minor"/>
    </font>
    <font>
      <b/>
      <sz val="11"/>
      <color rgb="FFFA7D00"/>
      <name val="Aptos Narrow"/>
      <family val="2"/>
      <charset val="134"/>
      <scheme val="minor"/>
    </font>
    <font>
      <sz val="11"/>
      <color rgb="FFFA7D00"/>
      <name val="Aptos Narrow"/>
      <family val="2"/>
      <charset val="134"/>
      <scheme val="minor"/>
    </font>
    <font>
      <b/>
      <sz val="11"/>
      <color theme="0"/>
      <name val="Aptos Narrow"/>
      <family val="2"/>
      <charset val="134"/>
      <scheme val="minor"/>
    </font>
    <font>
      <sz val="11"/>
      <color rgb="FFFF0000"/>
      <name val="Aptos Narrow"/>
      <family val="2"/>
      <charset val="134"/>
      <scheme val="minor"/>
    </font>
    <font>
      <i/>
      <sz val="11"/>
      <color rgb="FF7F7F7F"/>
      <name val="Aptos Narrow"/>
      <family val="2"/>
      <charset val="134"/>
      <scheme val="minor"/>
    </font>
    <font>
      <b/>
      <sz val="11"/>
      <color theme="1"/>
      <name val="Aptos Narrow"/>
      <family val="2"/>
      <charset val="134"/>
      <scheme val="minor"/>
    </font>
    <font>
      <sz val="11"/>
      <color theme="0"/>
      <name val="Aptos Narrow"/>
      <family val="2"/>
      <charset val="134"/>
      <scheme val="minor"/>
    </font>
    <font>
      <sz val="8"/>
      <name val="Aptos Narrow"/>
      <family val="2"/>
      <charset val="134"/>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0" fontId="0" fillId="0" borderId="0" xfId="0" applyAlignment="1">
      <alignment horizontal="left" vertical="top"/>
    </xf>
    <xf numFmtId="0" fontId="0" fillId="0" borderId="0" xfId="0" applyAlignment="1">
      <alignment horizontal="left" vertical="top" wrapText="1"/>
    </xf>
    <xf numFmtId="0" fontId="0" fillId="0" borderId="0" xfId="0" quotePrefix="1" applyAlignment="1">
      <alignment horizontal="left" vertical="top"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6">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1"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1" indent="0" justifyLastLine="0" shrinkToFit="0" readingOrder="0"/>
    </dxf>
    <dxf>
      <alignment horizontal="left" vertical="top" textRotation="0" wrapText="0" indent="0" justifyLastLine="0" shrinkToFit="0" readingOrder="0"/>
    </dxf>
    <dxf>
      <numFmt numFmtId="0" formatCode="General"/>
      <alignment horizontal="left" vertical="top" textRotation="0" indent="0" justifyLastLine="0" shrinkToFit="0" readingOrder="0"/>
    </dxf>
    <dxf>
      <numFmt numFmtId="0" formatCode="General"/>
      <alignment horizontal="left" vertical="top" textRotation="0" indent="0" justifyLastLine="0" shrinkToFit="0" readingOrder="0"/>
    </dxf>
    <dxf>
      <numFmt numFmtId="0" formatCode="General"/>
      <alignment horizontal="left" vertical="top" textRotation="0" wrapText="1" indent="0" justifyLastLine="0" shrinkToFit="0" readingOrder="0"/>
    </dxf>
    <dxf>
      <numFmt numFmtId="0" formatCode="General"/>
      <alignment horizontal="left" vertical="top" textRotation="0" indent="0" justifyLastLine="0" shrinkToFit="0" readingOrder="0"/>
    </dxf>
    <dxf>
      <numFmt numFmtId="0" formatCode="General"/>
      <alignment horizontal="left" vertical="top" textRotation="0" indent="0" justifyLastLine="0" shrinkToFit="0" readingOrder="0"/>
    </dxf>
    <dxf>
      <numFmt numFmtId="0" formatCode="General"/>
      <alignment horizontal="left" vertical="top" textRotation="0" wrapText="1" indent="0" justifyLastLine="0" shrinkToFit="0" readingOrder="0"/>
    </dxf>
    <dxf>
      <numFmt numFmtId="0" formatCode="General"/>
      <alignment horizontal="left" vertical="top" textRotation="0" indent="0" justifyLastLine="0" shrinkToFit="0" readingOrder="0"/>
    </dxf>
    <dxf>
      <alignment horizontal="left" vertical="top" textRotation="0" indent="0" justifyLastLine="0" shrinkToFit="0" readingOrder="0"/>
    </dxf>
    <dxf>
      <alignment horizontal="left" vertical="top" textRotation="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1"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1" indent="0" justifyLastLine="0" shrinkToFit="0" readingOrder="0"/>
    </dxf>
    <dxf>
      <alignment horizontal="left" vertical="top" textRotation="0" wrapText="0" indent="0" justifyLastLine="0" shrinkToFit="0" readingOrder="0"/>
    </dxf>
    <dxf>
      <numFmt numFmtId="0" formatCode="General"/>
      <alignment horizontal="left" vertical="top" textRotation="0" indent="0" justifyLastLine="0" shrinkToFit="0" readingOrder="0"/>
    </dxf>
    <dxf>
      <numFmt numFmtId="0" formatCode="General"/>
      <alignment horizontal="left" vertical="top" textRotation="0" indent="0" justifyLastLine="0" shrinkToFit="0" readingOrder="0"/>
    </dxf>
    <dxf>
      <numFmt numFmtId="0" formatCode="General"/>
      <alignment horizontal="left" vertical="top" textRotation="0" wrapText="1" indent="0" justifyLastLine="0" shrinkToFit="0" readingOrder="0"/>
    </dxf>
    <dxf>
      <numFmt numFmtId="0" formatCode="General"/>
      <alignment horizontal="left" vertical="top" textRotation="0" indent="0" justifyLastLine="0" shrinkToFit="0" readingOrder="0"/>
    </dxf>
    <dxf>
      <numFmt numFmtId="0" formatCode="General"/>
      <alignment horizontal="left" vertical="top" textRotation="0" indent="0" justifyLastLine="0" shrinkToFit="0" readingOrder="0"/>
    </dxf>
    <dxf>
      <numFmt numFmtId="0" formatCode="General"/>
      <alignment horizontal="left" vertical="top" textRotation="0" indent="0" justifyLastLine="0" shrinkToFit="0" readingOrder="0"/>
    </dxf>
    <dxf>
      <numFmt numFmtId="0" formatCode="General"/>
      <alignment horizontal="left" vertical="top" textRotation="0" indent="0" justifyLastLine="0" shrinkToFit="0" readingOrder="0"/>
    </dxf>
    <dxf>
      <numFmt numFmtId="0" formatCode="General"/>
      <alignment horizontal="left" vertical="top" textRotation="0" wrapText="1" indent="0" justifyLastLine="0" shrinkToFit="0" readingOrder="0"/>
    </dxf>
    <dxf>
      <numFmt numFmtId="0" formatCode="General"/>
      <alignment horizontal="left" vertical="top" textRotation="0" indent="0" justifyLastLine="0" shrinkToFit="0" readingOrder="0"/>
    </dxf>
    <dxf>
      <alignment horizontal="left" vertical="top" textRotation="0" indent="0" justifyLastLine="0" shrinkToFit="0" readingOrder="0"/>
    </dxf>
    <dxf>
      <alignment horizontal="left" vertical="top"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theme" Target="theme/theme1.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 Id="rId9" Type="http://schemas.openxmlformats.org/officeDocument/2006/relationships/customXml" Target="../customXml/item1.xml"/></Relationships>
</file>

<file path=xl/persons/person.xml><?xml version="1.0" encoding="utf-8"?>
<personList xmlns="http://schemas.microsoft.com/office/spreadsheetml/2018/threadedcomments" xmlns:x="http://schemas.openxmlformats.org/spreadsheetml/2006/mai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C80919CF-735D-4D1D-A217-D79C48580692}" autoFormatId="16" applyNumberFormats="0" applyBorderFormats="0" applyFontFormats="0" applyPatternFormats="0" applyAlignmentFormats="0" applyWidthHeightFormats="0">
  <queryTableRefresh nextId="10" unboundColumnsRight="2">
    <queryTableFields count="9">
      <queryTableField id="1" name="Column1" tableColumnId="1"/>
      <queryTableField id="2" name="Column2" tableColumnId="2"/>
      <queryTableField id="3" name="Column3" tableColumnId="3"/>
      <queryTableField id="4" name="Column4" tableColumnId="4"/>
      <queryTableField id="5" name="Column5" tableColumnId="5"/>
      <queryTableField id="6" name="Column6" tableColumnId="6"/>
      <queryTableField id="7" name="Column7" tableColumnId="7"/>
      <queryTableField id="8" dataBound="0" tableColumnId="8"/>
      <queryTableField id="9" dataBound="0" tableColumnId="9"/>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40874CF9-AD09-4E88-8370-893515E498EF}" autoFormatId="16" applyNumberFormats="0" applyBorderFormats="0" applyFontFormats="0" applyPatternFormats="0" applyAlignmentFormats="0" applyWidthHeightFormats="0">
  <queryTableRefresh nextId="10" unboundColumnsRight="2">
    <queryTableFields count="7">
      <queryTableField id="1" name="Column1" tableColumnId="1"/>
      <queryTableField id="2" name="Column2" tableColumnId="2"/>
      <queryTableField id="4" name="Column4" tableColumnId="4"/>
      <queryTableField id="6" name="Column6" tableColumnId="6"/>
      <queryTableField id="7" name="Column7" tableColumnId="7"/>
      <queryTableField id="8" dataBound="0" tableColumnId="8"/>
      <queryTableField id="9" dataBound="0" tableColumnId="9"/>
    </queryTableFields>
    <queryTableDeletedFields count="2">
      <deletedField name="Column5"/>
      <deletedField name="Column3"/>
    </queryTableDeleted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BD66B6B-CEC4-4C07-9535-03E0471FE122}" name="comparison" displayName="comparison" ref="A1:I28" tableType="queryTable" totalsRowCount="1" headerRowDxfId="35" dataDxfId="34">
  <autoFilter ref="A1:I27" xr:uid="{BBD66B6B-CEC4-4C07-9535-03E0471FE122}"/>
  <tableColumns count="9">
    <tableColumn id="1" xr3:uid="{FA4D5C59-BE44-413C-A846-44638C473331}" uniqueName="1" name="Column1" queryTableFieldId="1" dataDxfId="33" totalsRowDxfId="24"/>
    <tableColumn id="2" xr3:uid="{84AFE032-A74E-48AC-BFF6-380F87D8C8DE}" uniqueName="2" name="Column2" queryTableFieldId="2" dataDxfId="32" totalsRowDxfId="23"/>
    <tableColumn id="3" xr3:uid="{AE8F789D-18CE-42D4-80AA-4A38188AB38D}" uniqueName="3" name="Column3" queryTableFieldId="3" dataDxfId="31" totalsRowDxfId="22"/>
    <tableColumn id="4" xr3:uid="{3629C0CD-A95C-4BE2-A28F-7EA3105B3D4D}" uniqueName="4" name="Column4" queryTableFieldId="4" dataDxfId="30" totalsRowDxfId="21"/>
    <tableColumn id="5" xr3:uid="{F4551411-DC6F-4F8E-A6C5-90161E2C8CB8}" uniqueName="5" name="Column5" queryTableFieldId="5" dataDxfId="29" totalsRowDxfId="20"/>
    <tableColumn id="6" xr3:uid="{9082C787-AD13-4C5E-B743-B290D4EE6095}" uniqueName="6" name="Column6" queryTableFieldId="6" dataDxfId="28" totalsRowDxfId="19"/>
    <tableColumn id="7" xr3:uid="{E80C15D3-8B91-425C-9DF1-2CCF3B321672}" uniqueName="7" name="Column7" queryTableFieldId="7" dataDxfId="27" totalsRowDxfId="18"/>
    <tableColumn id="8" xr3:uid="{D1972FDE-CCAF-48B4-B313-B500678252A6}" uniqueName="8" name="Column8" totalsRowFunction="custom" queryTableFieldId="8" dataDxfId="26" totalsRowDxfId="17">
      <totalsRowFormula>SUM(H2:H27)</totalsRowFormula>
    </tableColumn>
    <tableColumn id="9" xr3:uid="{5C44B951-D5D7-44F4-94AE-E9AD74FBE5A3}" uniqueName="9" name="Column9" totalsRowFunction="custom" queryTableFieldId="9" dataDxfId="25" totalsRowDxfId="16">
      <totalsRowFormula>SUM(I2:I27)</totalsRowFormula>
    </tableColumn>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B1DFAB7-6012-4F95-AD04-41CD351463CA}" name="comparison3" displayName="comparison3" ref="A1:G28" tableType="queryTable" totalsRowCount="1" headerRowDxfId="15" dataDxfId="14">
  <autoFilter ref="A1:G27" xr:uid="{EB1DFAB7-6012-4F95-AD04-41CD351463CA}"/>
  <tableColumns count="7">
    <tableColumn id="1" xr3:uid="{85D3AF16-1CCB-4313-96B5-9CB7153E43DC}" uniqueName="1" name="Column1" queryTableFieldId="1" dataDxfId="13" totalsRowDxfId="6"/>
    <tableColumn id="2" xr3:uid="{D70BED80-1848-417D-955A-AA76F6A31F67}" uniqueName="2" name="Column2" queryTableFieldId="2" dataDxfId="12" totalsRowDxfId="5"/>
    <tableColumn id="4" xr3:uid="{3F83A536-4CD7-42DD-A596-13EAFDF3A4EF}" uniqueName="4" name="Column4" queryTableFieldId="4" dataDxfId="11" totalsRowDxfId="4"/>
    <tableColumn id="6" xr3:uid="{C83AD8D6-ED0F-463D-A691-20ED2B9117D5}" uniqueName="6" name="Column6" queryTableFieldId="6" dataDxfId="10" totalsRowDxfId="3"/>
    <tableColumn id="7" xr3:uid="{18C760C5-A29D-473B-8740-970AB7AA17AD}" uniqueName="7" name="Column7" queryTableFieldId="7" dataDxfId="9" totalsRowDxfId="2"/>
    <tableColumn id="8" xr3:uid="{31EFEF79-3040-4F0B-B72F-A2B1889DFB14}" uniqueName="8" name="Column8" totalsRowFunction="custom" queryTableFieldId="8" dataDxfId="8" totalsRowDxfId="1">
      <totalsRowFormula>SUM(F2:F27)</totalsRowFormula>
    </tableColumn>
    <tableColumn id="9" xr3:uid="{7AAB2210-C161-41A7-998A-9DF0A63512FD}" uniqueName="9" name="Column9" totalsRowFunction="custom" queryTableFieldId="9" dataDxfId="7" totalsRowDxfId="0">
      <totalsRowFormula>SUM(G2:G27)</totalsRow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7DA85D-789F-44D1-A165-16DDCF78AB01}">
  <dimension ref="A1:I28"/>
  <sheetViews>
    <sheetView zoomScale="85" zoomScaleNormal="85" workbookViewId="0">
      <selection sqref="A1:XFD1048576"/>
    </sheetView>
  </sheetViews>
  <sheetFormatPr defaultRowHeight="13.5" x14ac:dyDescent="0.15"/>
  <cols>
    <col min="1" max="1" width="9" style="1" customWidth="1"/>
    <col min="2" max="2" width="22.875" style="2" customWidth="1"/>
    <col min="3" max="3" width="10.625" style="1" customWidth="1"/>
    <col min="4" max="4" width="9.125" style="1" customWidth="1"/>
    <col min="5" max="5" width="11" style="1" customWidth="1"/>
    <col min="6" max="6" width="11.5" style="1" customWidth="1"/>
    <col min="7" max="7" width="70.625" style="2" customWidth="1"/>
    <col min="8" max="16384" width="9" style="1"/>
  </cols>
  <sheetData>
    <row r="1" spans="1:9" x14ac:dyDescent="0.15">
      <c r="A1" s="1" t="s">
        <v>129</v>
      </c>
      <c r="B1" s="2" t="s">
        <v>130</v>
      </c>
      <c r="C1" s="1" t="s">
        <v>131</v>
      </c>
      <c r="D1" s="1" t="s">
        <v>132</v>
      </c>
      <c r="E1" s="1" t="s">
        <v>133</v>
      </c>
      <c r="F1" s="1" t="s">
        <v>134</v>
      </c>
      <c r="G1" s="2" t="s">
        <v>135</v>
      </c>
      <c r="H1" s="1" t="s">
        <v>160</v>
      </c>
      <c r="I1" s="1" t="s">
        <v>161</v>
      </c>
    </row>
    <row r="2" spans="1:9" x14ac:dyDescent="0.15">
      <c r="A2" s="1" t="s">
        <v>0</v>
      </c>
      <c r="B2" s="2" t="s">
        <v>1</v>
      </c>
      <c r="C2" s="1" t="s">
        <v>2</v>
      </c>
      <c r="D2" s="1" t="s">
        <v>3</v>
      </c>
      <c r="E2" s="1" t="s">
        <v>4</v>
      </c>
      <c r="F2" s="1" t="s">
        <v>5</v>
      </c>
      <c r="G2" s="2" t="s">
        <v>6</v>
      </c>
      <c r="H2" s="1" t="s">
        <v>162</v>
      </c>
      <c r="I2" s="1" t="s">
        <v>163</v>
      </c>
    </row>
    <row r="3" spans="1:9" ht="108" x14ac:dyDescent="0.15">
      <c r="A3" s="1" t="s">
        <v>7</v>
      </c>
      <c r="B3" s="2" t="s">
        <v>8</v>
      </c>
      <c r="C3" s="1" t="s">
        <v>9</v>
      </c>
      <c r="D3" s="1" t="s">
        <v>10</v>
      </c>
      <c r="E3" s="1" t="s">
        <v>11</v>
      </c>
      <c r="F3" s="1" t="s">
        <v>12</v>
      </c>
      <c r="G3" s="2" t="s">
        <v>13</v>
      </c>
      <c r="H3" s="1">
        <v>1</v>
      </c>
      <c r="I3" s="1">
        <v>1</v>
      </c>
    </row>
    <row r="4" spans="1:9" ht="108" x14ac:dyDescent="0.15">
      <c r="A4" s="1" t="s">
        <v>14</v>
      </c>
      <c r="B4" s="2" t="s">
        <v>15</v>
      </c>
      <c r="C4" s="1" t="s">
        <v>9</v>
      </c>
      <c r="D4" s="1" t="s">
        <v>16</v>
      </c>
      <c r="E4" s="1" t="s">
        <v>136</v>
      </c>
      <c r="F4" s="1" t="s">
        <v>17</v>
      </c>
      <c r="G4" s="2" t="s">
        <v>18</v>
      </c>
      <c r="H4" s="1">
        <v>0</v>
      </c>
      <c r="I4" s="1">
        <v>1</v>
      </c>
    </row>
    <row r="5" spans="1:9" ht="108" x14ac:dyDescent="0.15">
      <c r="A5" s="1" t="s">
        <v>19</v>
      </c>
      <c r="B5" s="2" t="s">
        <v>167</v>
      </c>
      <c r="C5" s="1" t="s">
        <v>20</v>
      </c>
      <c r="D5" s="1" t="s">
        <v>21</v>
      </c>
      <c r="E5" s="1" t="s">
        <v>22</v>
      </c>
      <c r="F5" s="1" t="s">
        <v>23</v>
      </c>
      <c r="G5" s="2" t="s">
        <v>24</v>
      </c>
      <c r="H5" s="1">
        <v>2</v>
      </c>
      <c r="I5" s="1">
        <v>2</v>
      </c>
    </row>
    <row r="6" spans="1:9" ht="108" x14ac:dyDescent="0.15">
      <c r="A6" s="1" t="s">
        <v>25</v>
      </c>
      <c r="B6" s="2" t="s">
        <v>26</v>
      </c>
      <c r="C6" s="1" t="s">
        <v>27</v>
      </c>
      <c r="D6" s="1" t="s">
        <v>28</v>
      </c>
      <c r="E6" s="1" t="s">
        <v>137</v>
      </c>
      <c r="F6" s="1" t="s">
        <v>29</v>
      </c>
      <c r="G6" s="2" t="s">
        <v>30</v>
      </c>
      <c r="H6" s="1">
        <v>1</v>
      </c>
      <c r="I6" s="1">
        <v>2</v>
      </c>
    </row>
    <row r="7" spans="1:9" ht="324" x14ac:dyDescent="0.15">
      <c r="A7" s="1" t="s">
        <v>31</v>
      </c>
      <c r="B7" s="2" t="s">
        <v>138</v>
      </c>
      <c r="C7" s="1" t="s">
        <v>32</v>
      </c>
      <c r="D7" s="1" t="s">
        <v>28</v>
      </c>
      <c r="E7" s="1" t="s">
        <v>137</v>
      </c>
      <c r="F7" s="1" t="s">
        <v>33</v>
      </c>
      <c r="G7" s="2" t="s">
        <v>34</v>
      </c>
      <c r="H7" s="1">
        <v>1</v>
      </c>
      <c r="I7" s="1">
        <v>2</v>
      </c>
    </row>
    <row r="8" spans="1:9" ht="378" x14ac:dyDescent="0.15">
      <c r="A8" s="1" t="s">
        <v>35</v>
      </c>
      <c r="B8" s="2" t="s">
        <v>8</v>
      </c>
      <c r="C8" s="1" t="s">
        <v>36</v>
      </c>
      <c r="D8" s="1" t="s">
        <v>28</v>
      </c>
      <c r="E8" s="1" t="s">
        <v>137</v>
      </c>
      <c r="F8" s="1" t="s">
        <v>37</v>
      </c>
      <c r="G8" s="2" t="s">
        <v>38</v>
      </c>
      <c r="H8" s="1">
        <v>1</v>
      </c>
      <c r="I8" s="1">
        <v>1</v>
      </c>
    </row>
    <row r="9" spans="1:9" ht="108" x14ac:dyDescent="0.15">
      <c r="A9" s="1" t="s">
        <v>39</v>
      </c>
      <c r="B9" s="2" t="s">
        <v>40</v>
      </c>
      <c r="C9" s="1" t="s">
        <v>41</v>
      </c>
      <c r="D9" s="1" t="s">
        <v>28</v>
      </c>
      <c r="E9" s="1" t="s">
        <v>137</v>
      </c>
      <c r="F9" s="1" t="s">
        <v>42</v>
      </c>
      <c r="G9" s="2" t="s">
        <v>43</v>
      </c>
      <c r="H9" s="1">
        <v>1</v>
      </c>
      <c r="I9" s="1">
        <v>1</v>
      </c>
    </row>
    <row r="10" spans="1:9" ht="108" x14ac:dyDescent="0.15">
      <c r="A10" s="1" t="s">
        <v>44</v>
      </c>
      <c r="B10" s="2" t="s">
        <v>45</v>
      </c>
      <c r="C10" s="1" t="s">
        <v>9</v>
      </c>
      <c r="D10" s="1" t="s">
        <v>46</v>
      </c>
      <c r="E10" s="1" t="s">
        <v>139</v>
      </c>
      <c r="F10" s="1" t="s">
        <v>47</v>
      </c>
      <c r="G10" s="2" t="s">
        <v>48</v>
      </c>
      <c r="H10" s="1">
        <v>2</v>
      </c>
      <c r="I10" s="1">
        <v>2</v>
      </c>
    </row>
    <row r="11" spans="1:9" ht="189" x14ac:dyDescent="0.15">
      <c r="A11" s="1" t="s">
        <v>49</v>
      </c>
      <c r="B11" s="2" t="s">
        <v>50</v>
      </c>
      <c r="C11" s="1" t="s">
        <v>51</v>
      </c>
      <c r="D11" s="1" t="s">
        <v>52</v>
      </c>
      <c r="E11" s="1" t="s">
        <v>53</v>
      </c>
      <c r="F11" s="1" t="s">
        <v>54</v>
      </c>
      <c r="G11" s="2" t="s">
        <v>55</v>
      </c>
      <c r="H11" s="1">
        <v>1</v>
      </c>
      <c r="I11" s="1">
        <v>1</v>
      </c>
    </row>
    <row r="12" spans="1:9" ht="283.5" x14ac:dyDescent="0.15">
      <c r="A12" s="1" t="s">
        <v>56</v>
      </c>
      <c r="B12" s="2" t="s">
        <v>57</v>
      </c>
      <c r="C12" s="1" t="s">
        <v>20</v>
      </c>
      <c r="D12" s="1" t="s">
        <v>58</v>
      </c>
      <c r="E12" s="1" t="s">
        <v>140</v>
      </c>
      <c r="F12" s="1" t="s">
        <v>59</v>
      </c>
      <c r="G12" s="2" t="s">
        <v>60</v>
      </c>
      <c r="H12" s="1">
        <v>1</v>
      </c>
      <c r="I12" s="1">
        <v>1</v>
      </c>
    </row>
    <row r="13" spans="1:9" ht="108" x14ac:dyDescent="0.15">
      <c r="A13" s="1" t="s">
        <v>56</v>
      </c>
      <c r="B13" s="2" t="s">
        <v>61</v>
      </c>
      <c r="C13" s="1" t="s">
        <v>9</v>
      </c>
      <c r="D13" s="1" t="s">
        <v>62</v>
      </c>
      <c r="E13" s="1" t="s">
        <v>141</v>
      </c>
      <c r="F13" s="1" t="s">
        <v>63</v>
      </c>
      <c r="G13" s="2" t="s">
        <v>64</v>
      </c>
      <c r="H13" s="1">
        <v>2</v>
      </c>
      <c r="I13" s="1">
        <v>2</v>
      </c>
    </row>
    <row r="14" spans="1:9" ht="108" x14ac:dyDescent="0.15">
      <c r="A14" s="1" t="s">
        <v>65</v>
      </c>
      <c r="B14" s="2" t="s">
        <v>66</v>
      </c>
      <c r="C14" s="1" t="s">
        <v>20</v>
      </c>
      <c r="D14" s="1" t="s">
        <v>67</v>
      </c>
      <c r="E14" s="1" t="s">
        <v>142</v>
      </c>
      <c r="F14" s="1" t="s">
        <v>68</v>
      </c>
      <c r="G14" s="2" t="s">
        <v>69</v>
      </c>
      <c r="H14" s="1">
        <v>2</v>
      </c>
      <c r="I14" s="1">
        <v>2</v>
      </c>
    </row>
    <row r="15" spans="1:9" ht="364.5" x14ac:dyDescent="0.15">
      <c r="A15" s="1" t="s">
        <v>70</v>
      </c>
      <c r="B15" s="2" t="s">
        <v>71</v>
      </c>
      <c r="C15" s="1" t="s">
        <v>143</v>
      </c>
      <c r="D15" s="1" t="s">
        <v>72</v>
      </c>
      <c r="E15" s="1" t="s">
        <v>144</v>
      </c>
      <c r="F15" s="1" t="s">
        <v>73</v>
      </c>
      <c r="G15" s="2" t="s">
        <v>74</v>
      </c>
      <c r="H15" s="1">
        <v>1</v>
      </c>
      <c r="I15" s="1">
        <v>2</v>
      </c>
    </row>
    <row r="16" spans="1:9" ht="283.5" x14ac:dyDescent="0.15">
      <c r="A16" s="1" t="s">
        <v>75</v>
      </c>
      <c r="B16" s="2" t="s">
        <v>76</v>
      </c>
      <c r="C16" s="1" t="s">
        <v>145</v>
      </c>
      <c r="D16" s="1" t="s">
        <v>77</v>
      </c>
      <c r="E16" s="1" t="s">
        <v>146</v>
      </c>
      <c r="F16" s="1" t="s">
        <v>78</v>
      </c>
      <c r="G16" s="2" t="s">
        <v>79</v>
      </c>
      <c r="H16" s="1">
        <v>0</v>
      </c>
      <c r="I16" s="1">
        <v>1</v>
      </c>
    </row>
    <row r="17" spans="1:9" ht="108" x14ac:dyDescent="0.15">
      <c r="A17" s="1" t="s">
        <v>56</v>
      </c>
      <c r="B17" s="2" t="s">
        <v>147</v>
      </c>
      <c r="C17" s="1" t="s">
        <v>20</v>
      </c>
      <c r="D17" s="1" t="s">
        <v>80</v>
      </c>
      <c r="E17" s="1" t="s">
        <v>81</v>
      </c>
      <c r="F17" s="1" t="s">
        <v>82</v>
      </c>
      <c r="G17" s="2" t="s">
        <v>83</v>
      </c>
      <c r="H17" s="1">
        <v>1</v>
      </c>
      <c r="I17" s="1">
        <v>1</v>
      </c>
    </row>
    <row r="18" spans="1:9" ht="108" x14ac:dyDescent="0.15">
      <c r="A18" s="1" t="s">
        <v>84</v>
      </c>
      <c r="B18" s="2" t="s">
        <v>147</v>
      </c>
      <c r="C18" s="1" t="s">
        <v>20</v>
      </c>
      <c r="D18" s="1" t="s">
        <v>85</v>
      </c>
      <c r="E18" s="1" t="s">
        <v>148</v>
      </c>
      <c r="F18" s="1" t="s">
        <v>68</v>
      </c>
      <c r="G18" s="2" t="s">
        <v>69</v>
      </c>
      <c r="H18" s="1">
        <v>1</v>
      </c>
      <c r="I18" s="1">
        <v>1</v>
      </c>
    </row>
    <row r="19" spans="1:9" ht="189" x14ac:dyDescent="0.15">
      <c r="A19" s="1" t="s">
        <v>86</v>
      </c>
      <c r="B19" s="2" t="s">
        <v>164</v>
      </c>
      <c r="C19" s="1" t="s">
        <v>87</v>
      </c>
      <c r="D19" s="1" t="s">
        <v>88</v>
      </c>
      <c r="E19" s="1" t="s">
        <v>89</v>
      </c>
      <c r="F19" s="1" t="s">
        <v>54</v>
      </c>
      <c r="G19" s="2" t="s">
        <v>55</v>
      </c>
      <c r="H19" s="1">
        <v>1</v>
      </c>
      <c r="I19" s="1">
        <v>3</v>
      </c>
    </row>
    <row r="20" spans="1:9" ht="289.5" customHeight="1" x14ac:dyDescent="0.15">
      <c r="A20" s="1" t="s">
        <v>90</v>
      </c>
      <c r="B20" s="2" t="s">
        <v>91</v>
      </c>
      <c r="C20" s="1" t="s">
        <v>92</v>
      </c>
      <c r="D20" s="1" t="s">
        <v>93</v>
      </c>
      <c r="E20" s="1" t="s">
        <v>149</v>
      </c>
      <c r="F20" s="1" t="s">
        <v>94</v>
      </c>
      <c r="G20" s="2" t="s">
        <v>95</v>
      </c>
      <c r="H20" s="1">
        <v>1</v>
      </c>
      <c r="I20" s="1">
        <v>1</v>
      </c>
    </row>
    <row r="21" spans="1:9" ht="338.25" customHeight="1" x14ac:dyDescent="0.15">
      <c r="A21" s="1" t="s">
        <v>97</v>
      </c>
      <c r="B21" s="2" t="s">
        <v>98</v>
      </c>
      <c r="C21" s="1" t="s">
        <v>150</v>
      </c>
      <c r="D21" s="1" t="s">
        <v>99</v>
      </c>
      <c r="E21" s="1" t="s">
        <v>100</v>
      </c>
      <c r="F21" s="1" t="s">
        <v>101</v>
      </c>
      <c r="G21" s="2" t="s">
        <v>102</v>
      </c>
      <c r="H21" s="1">
        <v>1</v>
      </c>
      <c r="I21" s="1">
        <v>2</v>
      </c>
    </row>
    <row r="22" spans="1:9" ht="108" x14ac:dyDescent="0.15">
      <c r="A22" s="1" t="s">
        <v>151</v>
      </c>
      <c r="B22" s="2" t="s">
        <v>96</v>
      </c>
      <c r="C22" s="1" t="s">
        <v>152</v>
      </c>
      <c r="D22" s="1" t="s">
        <v>103</v>
      </c>
      <c r="E22" s="1" t="s">
        <v>153</v>
      </c>
      <c r="F22" s="1" t="s">
        <v>104</v>
      </c>
      <c r="G22" s="2" t="s">
        <v>105</v>
      </c>
      <c r="H22" s="1">
        <v>2</v>
      </c>
      <c r="I22" s="1">
        <v>2</v>
      </c>
    </row>
    <row r="23" spans="1:9" ht="108" x14ac:dyDescent="0.15">
      <c r="A23" s="1" t="s">
        <v>106</v>
      </c>
      <c r="B23" s="2" t="s">
        <v>147</v>
      </c>
      <c r="C23" s="1" t="s">
        <v>154</v>
      </c>
      <c r="D23" s="1" t="s">
        <v>107</v>
      </c>
      <c r="E23" s="1" t="s">
        <v>155</v>
      </c>
      <c r="F23" s="1" t="s">
        <v>108</v>
      </c>
      <c r="G23" s="2" t="s">
        <v>109</v>
      </c>
      <c r="H23" s="1">
        <v>1</v>
      </c>
      <c r="I23" s="1">
        <v>1</v>
      </c>
    </row>
    <row r="24" spans="1:9" ht="409.5" customHeight="1" x14ac:dyDescent="0.15">
      <c r="A24" s="1" t="s">
        <v>110</v>
      </c>
      <c r="B24" s="3" t="s">
        <v>165</v>
      </c>
      <c r="C24" s="1" t="s">
        <v>111</v>
      </c>
      <c r="D24" s="1" t="s">
        <v>112</v>
      </c>
      <c r="E24" s="1" t="s">
        <v>156</v>
      </c>
      <c r="F24" s="1" t="s">
        <v>113</v>
      </c>
      <c r="G24" s="2" t="s">
        <v>114</v>
      </c>
      <c r="H24" s="1">
        <v>1</v>
      </c>
      <c r="I24" s="1">
        <v>1</v>
      </c>
    </row>
    <row r="25" spans="1:9" ht="283.5" x14ac:dyDescent="0.15">
      <c r="A25" s="1" t="s">
        <v>115</v>
      </c>
      <c r="B25" s="3" t="s">
        <v>166</v>
      </c>
      <c r="C25" s="1" t="s">
        <v>157</v>
      </c>
      <c r="D25" s="1" t="s">
        <v>116</v>
      </c>
      <c r="E25" s="1" t="s">
        <v>117</v>
      </c>
      <c r="F25" s="1" t="s">
        <v>118</v>
      </c>
      <c r="G25" s="2" t="s">
        <v>119</v>
      </c>
      <c r="H25" s="1">
        <v>1</v>
      </c>
      <c r="I25" s="1">
        <v>1</v>
      </c>
    </row>
    <row r="26" spans="1:9" ht="108" x14ac:dyDescent="0.15">
      <c r="A26" s="1" t="s">
        <v>158</v>
      </c>
      <c r="B26" s="2" t="s">
        <v>147</v>
      </c>
      <c r="C26" s="1" t="s">
        <v>154</v>
      </c>
      <c r="D26" s="1" t="s">
        <v>120</v>
      </c>
      <c r="E26" s="1" t="s">
        <v>121</v>
      </c>
      <c r="F26" s="1" t="s">
        <v>122</v>
      </c>
      <c r="G26" s="2" t="s">
        <v>123</v>
      </c>
      <c r="H26" s="1">
        <v>1</v>
      </c>
      <c r="I26" s="1">
        <v>1</v>
      </c>
    </row>
    <row r="27" spans="1:9" ht="270" x14ac:dyDescent="0.15">
      <c r="A27" s="1" t="s">
        <v>124</v>
      </c>
      <c r="B27" s="2" t="s">
        <v>159</v>
      </c>
      <c r="C27" s="1" t="s">
        <v>145</v>
      </c>
      <c r="D27" s="1" t="s">
        <v>125</v>
      </c>
      <c r="E27" s="1" t="s">
        <v>126</v>
      </c>
      <c r="F27" s="1" t="s">
        <v>127</v>
      </c>
      <c r="G27" s="2" t="s">
        <v>128</v>
      </c>
      <c r="H27" s="1">
        <v>0</v>
      </c>
      <c r="I27" s="1">
        <v>1</v>
      </c>
    </row>
    <row r="28" spans="1:9" x14ac:dyDescent="0.15">
      <c r="H28" s="1">
        <f>SUM(H2:H27)</f>
        <v>27</v>
      </c>
      <c r="I28" s="1">
        <f>SUM(I2:I27)</f>
        <v>36</v>
      </c>
    </row>
  </sheetData>
  <phoneticPr fontId="18"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F3BA30-434E-4B44-97A1-A844A83E9ADD}">
  <dimension ref="A1:G28"/>
  <sheetViews>
    <sheetView tabSelected="1" topLeftCell="A26" workbookViewId="0">
      <selection activeCell="A2" sqref="A2:G27"/>
    </sheetView>
  </sheetViews>
  <sheetFormatPr defaultRowHeight="13.5" x14ac:dyDescent="0.15"/>
  <cols>
    <col min="1" max="1" width="9" style="1"/>
    <col min="2" max="2" width="22.875" style="2" customWidth="1"/>
    <col min="3" max="3" width="10.25" style="1" customWidth="1"/>
    <col min="4" max="4" width="11.5" style="1" customWidth="1"/>
    <col min="5" max="5" width="70.625" style="2" customWidth="1"/>
    <col min="6" max="16384" width="9" style="1"/>
  </cols>
  <sheetData>
    <row r="1" spans="1:7" x14ac:dyDescent="0.15">
      <c r="A1" s="1" t="s">
        <v>129</v>
      </c>
      <c r="B1" s="2" t="s">
        <v>130</v>
      </c>
      <c r="C1" s="1" t="s">
        <v>132</v>
      </c>
      <c r="D1" s="1" t="s">
        <v>134</v>
      </c>
      <c r="E1" s="2" t="s">
        <v>135</v>
      </c>
      <c r="F1" s="1" t="s">
        <v>160</v>
      </c>
      <c r="G1" s="1" t="s">
        <v>161</v>
      </c>
    </row>
    <row r="2" spans="1:7" x14ac:dyDescent="0.15">
      <c r="A2" s="1" t="s">
        <v>0</v>
      </c>
      <c r="B2" s="2" t="s">
        <v>1</v>
      </c>
      <c r="C2" s="1" t="s">
        <v>3</v>
      </c>
      <c r="D2" s="1" t="s">
        <v>5</v>
      </c>
      <c r="E2" s="2" t="s">
        <v>6</v>
      </c>
      <c r="F2" s="1" t="s">
        <v>162</v>
      </c>
      <c r="G2" s="1" t="s">
        <v>163</v>
      </c>
    </row>
    <row r="3" spans="1:7" ht="108" x14ac:dyDescent="0.15">
      <c r="A3" s="1" t="s">
        <v>7</v>
      </c>
      <c r="B3" s="2" t="s">
        <v>8</v>
      </c>
      <c r="C3" s="1" t="s">
        <v>10</v>
      </c>
      <c r="D3" s="1" t="s">
        <v>12</v>
      </c>
      <c r="E3" s="2" t="s">
        <v>13</v>
      </c>
      <c r="F3" s="1">
        <v>1</v>
      </c>
      <c r="G3" s="1">
        <v>1</v>
      </c>
    </row>
    <row r="4" spans="1:7" ht="108" x14ac:dyDescent="0.15">
      <c r="A4" s="1" t="s">
        <v>14</v>
      </c>
      <c r="B4" s="2" t="s">
        <v>15</v>
      </c>
      <c r="C4" s="1" t="s">
        <v>16</v>
      </c>
      <c r="D4" s="1" t="s">
        <v>17</v>
      </c>
      <c r="E4" s="2" t="s">
        <v>18</v>
      </c>
      <c r="F4" s="1">
        <v>0</v>
      </c>
      <c r="G4" s="1">
        <v>1</v>
      </c>
    </row>
    <row r="5" spans="1:7" ht="108" x14ac:dyDescent="0.15">
      <c r="A5" s="1" t="s">
        <v>19</v>
      </c>
      <c r="B5" s="2" t="s">
        <v>167</v>
      </c>
      <c r="C5" s="1" t="s">
        <v>21</v>
      </c>
      <c r="D5" s="1" t="s">
        <v>23</v>
      </c>
      <c r="E5" s="2" t="s">
        <v>24</v>
      </c>
      <c r="F5" s="1">
        <v>2</v>
      </c>
      <c r="G5" s="1">
        <v>2</v>
      </c>
    </row>
    <row r="6" spans="1:7" ht="108" x14ac:dyDescent="0.15">
      <c r="A6" s="1" t="s">
        <v>25</v>
      </c>
      <c r="B6" s="2" t="s">
        <v>26</v>
      </c>
      <c r="C6" s="1" t="s">
        <v>28</v>
      </c>
      <c r="D6" s="1" t="s">
        <v>29</v>
      </c>
      <c r="E6" s="2" t="s">
        <v>30</v>
      </c>
      <c r="F6" s="1">
        <v>1</v>
      </c>
      <c r="G6" s="1">
        <v>2</v>
      </c>
    </row>
    <row r="7" spans="1:7" ht="324" x14ac:dyDescent="0.15">
      <c r="A7" s="1" t="s">
        <v>31</v>
      </c>
      <c r="B7" s="2" t="s">
        <v>138</v>
      </c>
      <c r="C7" s="1" t="s">
        <v>28</v>
      </c>
      <c r="D7" s="1" t="s">
        <v>33</v>
      </c>
      <c r="E7" s="2" t="s">
        <v>34</v>
      </c>
      <c r="F7" s="1">
        <v>1</v>
      </c>
      <c r="G7" s="1">
        <v>2</v>
      </c>
    </row>
    <row r="8" spans="1:7" ht="378" x14ac:dyDescent="0.15">
      <c r="A8" s="1" t="s">
        <v>35</v>
      </c>
      <c r="B8" s="2" t="s">
        <v>8</v>
      </c>
      <c r="C8" s="1" t="s">
        <v>28</v>
      </c>
      <c r="D8" s="1" t="s">
        <v>37</v>
      </c>
      <c r="E8" s="2" t="s">
        <v>38</v>
      </c>
      <c r="F8" s="1">
        <v>1</v>
      </c>
      <c r="G8" s="1">
        <v>1</v>
      </c>
    </row>
    <row r="9" spans="1:7" ht="108" x14ac:dyDescent="0.15">
      <c r="A9" s="1" t="s">
        <v>39</v>
      </c>
      <c r="B9" s="2" t="s">
        <v>40</v>
      </c>
      <c r="C9" s="1" t="s">
        <v>28</v>
      </c>
      <c r="D9" s="1" t="s">
        <v>42</v>
      </c>
      <c r="E9" s="2" t="s">
        <v>43</v>
      </c>
      <c r="F9" s="1">
        <v>1</v>
      </c>
      <c r="G9" s="1">
        <v>1</v>
      </c>
    </row>
    <row r="10" spans="1:7" ht="108" x14ac:dyDescent="0.15">
      <c r="A10" s="1" t="s">
        <v>44</v>
      </c>
      <c r="B10" s="2" t="s">
        <v>45</v>
      </c>
      <c r="C10" s="1" t="s">
        <v>46</v>
      </c>
      <c r="D10" s="1" t="s">
        <v>47</v>
      </c>
      <c r="E10" s="2" t="s">
        <v>48</v>
      </c>
      <c r="F10" s="1">
        <v>2</v>
      </c>
      <c r="G10" s="1">
        <v>2</v>
      </c>
    </row>
    <row r="11" spans="1:7" ht="189" x14ac:dyDescent="0.15">
      <c r="A11" s="1" t="s">
        <v>49</v>
      </c>
      <c r="B11" s="2" t="s">
        <v>50</v>
      </c>
      <c r="C11" s="1" t="s">
        <v>52</v>
      </c>
      <c r="D11" s="1" t="s">
        <v>54</v>
      </c>
      <c r="E11" s="2" t="s">
        <v>55</v>
      </c>
      <c r="F11" s="1">
        <v>1</v>
      </c>
      <c r="G11" s="1">
        <v>1</v>
      </c>
    </row>
    <row r="12" spans="1:7" ht="283.5" x14ac:dyDescent="0.15">
      <c r="A12" s="1" t="s">
        <v>56</v>
      </c>
      <c r="B12" s="2" t="s">
        <v>57</v>
      </c>
      <c r="C12" s="1" t="s">
        <v>58</v>
      </c>
      <c r="D12" s="1" t="s">
        <v>59</v>
      </c>
      <c r="E12" s="2" t="s">
        <v>60</v>
      </c>
      <c r="F12" s="1">
        <v>1</v>
      </c>
      <c r="G12" s="1">
        <v>1</v>
      </c>
    </row>
    <row r="13" spans="1:7" ht="108" x14ac:dyDescent="0.15">
      <c r="A13" s="1" t="s">
        <v>56</v>
      </c>
      <c r="B13" s="2" t="s">
        <v>61</v>
      </c>
      <c r="C13" s="1" t="s">
        <v>62</v>
      </c>
      <c r="D13" s="1" t="s">
        <v>63</v>
      </c>
      <c r="E13" s="2" t="s">
        <v>64</v>
      </c>
      <c r="F13" s="1">
        <v>2</v>
      </c>
      <c r="G13" s="1">
        <v>2</v>
      </c>
    </row>
    <row r="14" spans="1:7" ht="108" x14ac:dyDescent="0.15">
      <c r="A14" s="1" t="s">
        <v>65</v>
      </c>
      <c r="B14" s="2" t="s">
        <v>66</v>
      </c>
      <c r="C14" s="1" t="s">
        <v>67</v>
      </c>
      <c r="D14" s="1" t="s">
        <v>68</v>
      </c>
      <c r="E14" s="2" t="s">
        <v>69</v>
      </c>
      <c r="F14" s="1">
        <v>2</v>
      </c>
      <c r="G14" s="1">
        <v>2</v>
      </c>
    </row>
    <row r="15" spans="1:7" ht="364.5" x14ac:dyDescent="0.15">
      <c r="A15" s="1" t="s">
        <v>70</v>
      </c>
      <c r="B15" s="2" t="s">
        <v>71</v>
      </c>
      <c r="C15" s="1" t="s">
        <v>72</v>
      </c>
      <c r="D15" s="1" t="s">
        <v>73</v>
      </c>
      <c r="E15" s="2" t="s">
        <v>74</v>
      </c>
      <c r="F15" s="1">
        <v>1</v>
      </c>
      <c r="G15" s="1">
        <v>2</v>
      </c>
    </row>
    <row r="16" spans="1:7" ht="283.5" x14ac:dyDescent="0.15">
      <c r="A16" s="1" t="s">
        <v>75</v>
      </c>
      <c r="B16" s="2" t="s">
        <v>76</v>
      </c>
      <c r="C16" s="1" t="s">
        <v>77</v>
      </c>
      <c r="D16" s="1" t="s">
        <v>78</v>
      </c>
      <c r="E16" s="2" t="s">
        <v>79</v>
      </c>
      <c r="F16" s="1">
        <v>0</v>
      </c>
      <c r="G16" s="1">
        <v>1</v>
      </c>
    </row>
    <row r="17" spans="1:7" ht="108" x14ac:dyDescent="0.15">
      <c r="A17" s="1" t="s">
        <v>56</v>
      </c>
      <c r="B17" s="2" t="s">
        <v>147</v>
      </c>
      <c r="C17" s="1" t="s">
        <v>80</v>
      </c>
      <c r="D17" s="1" t="s">
        <v>82</v>
      </c>
      <c r="E17" s="2" t="s">
        <v>83</v>
      </c>
      <c r="F17" s="1">
        <v>1</v>
      </c>
      <c r="G17" s="1">
        <v>1</v>
      </c>
    </row>
    <row r="18" spans="1:7" ht="108" x14ac:dyDescent="0.15">
      <c r="A18" s="1" t="s">
        <v>84</v>
      </c>
      <c r="B18" s="2" t="s">
        <v>147</v>
      </c>
      <c r="C18" s="1" t="s">
        <v>85</v>
      </c>
      <c r="D18" s="1" t="s">
        <v>68</v>
      </c>
      <c r="E18" s="2" t="s">
        <v>69</v>
      </c>
      <c r="F18" s="1">
        <v>1</v>
      </c>
      <c r="G18" s="1">
        <v>1</v>
      </c>
    </row>
    <row r="19" spans="1:7" ht="189" x14ac:dyDescent="0.15">
      <c r="A19" s="1" t="s">
        <v>86</v>
      </c>
      <c r="B19" s="2" t="s">
        <v>164</v>
      </c>
      <c r="C19" s="1" t="s">
        <v>88</v>
      </c>
      <c r="D19" s="1" t="s">
        <v>54</v>
      </c>
      <c r="E19" s="2" t="s">
        <v>55</v>
      </c>
      <c r="F19" s="1">
        <v>1</v>
      </c>
      <c r="G19" s="1">
        <v>3</v>
      </c>
    </row>
    <row r="20" spans="1:7" ht="289.5" customHeight="1" x14ac:dyDescent="0.15">
      <c r="A20" s="1" t="s">
        <v>90</v>
      </c>
      <c r="B20" s="2" t="s">
        <v>91</v>
      </c>
      <c r="C20" s="1" t="s">
        <v>93</v>
      </c>
      <c r="D20" s="1" t="s">
        <v>94</v>
      </c>
      <c r="E20" s="2" t="s">
        <v>95</v>
      </c>
      <c r="F20" s="1">
        <v>1</v>
      </c>
      <c r="G20" s="1">
        <v>1</v>
      </c>
    </row>
    <row r="21" spans="1:7" ht="338.25" customHeight="1" x14ac:dyDescent="0.15">
      <c r="A21" s="1" t="s">
        <v>97</v>
      </c>
      <c r="B21" s="2" t="s">
        <v>98</v>
      </c>
      <c r="C21" s="1" t="s">
        <v>99</v>
      </c>
      <c r="D21" s="1" t="s">
        <v>101</v>
      </c>
      <c r="E21" s="2" t="s">
        <v>102</v>
      </c>
      <c r="F21" s="1">
        <v>1</v>
      </c>
      <c r="G21" s="1">
        <v>2</v>
      </c>
    </row>
    <row r="22" spans="1:7" ht="108" x14ac:dyDescent="0.15">
      <c r="A22" s="1" t="s">
        <v>151</v>
      </c>
      <c r="B22" s="2" t="s">
        <v>96</v>
      </c>
      <c r="C22" s="1" t="s">
        <v>103</v>
      </c>
      <c r="D22" s="1" t="s">
        <v>104</v>
      </c>
      <c r="E22" s="2" t="s">
        <v>105</v>
      </c>
      <c r="F22" s="1">
        <v>2</v>
      </c>
      <c r="G22" s="1">
        <v>2</v>
      </c>
    </row>
    <row r="23" spans="1:7" ht="108" x14ac:dyDescent="0.15">
      <c r="A23" s="1" t="s">
        <v>106</v>
      </c>
      <c r="B23" s="2" t="s">
        <v>147</v>
      </c>
      <c r="C23" s="1" t="s">
        <v>107</v>
      </c>
      <c r="D23" s="1" t="s">
        <v>108</v>
      </c>
      <c r="E23" s="2" t="s">
        <v>109</v>
      </c>
      <c r="F23" s="1">
        <v>1</v>
      </c>
      <c r="G23" s="1">
        <v>1</v>
      </c>
    </row>
    <row r="24" spans="1:7" ht="409.5" customHeight="1" x14ac:dyDescent="0.15">
      <c r="A24" s="1" t="s">
        <v>110</v>
      </c>
      <c r="B24" s="3" t="s">
        <v>165</v>
      </c>
      <c r="C24" s="1" t="s">
        <v>112</v>
      </c>
      <c r="D24" s="1" t="s">
        <v>113</v>
      </c>
      <c r="E24" s="2" t="s">
        <v>114</v>
      </c>
      <c r="F24" s="1">
        <v>1</v>
      </c>
      <c r="G24" s="1">
        <v>1</v>
      </c>
    </row>
    <row r="25" spans="1:7" ht="283.5" x14ac:dyDescent="0.15">
      <c r="A25" s="1" t="s">
        <v>115</v>
      </c>
      <c r="B25" s="3" t="s">
        <v>166</v>
      </c>
      <c r="C25" s="1" t="s">
        <v>116</v>
      </c>
      <c r="D25" s="1" t="s">
        <v>118</v>
      </c>
      <c r="E25" s="2" t="s">
        <v>119</v>
      </c>
      <c r="F25" s="1">
        <v>1</v>
      </c>
      <c r="G25" s="1">
        <v>1</v>
      </c>
    </row>
    <row r="26" spans="1:7" ht="108" x14ac:dyDescent="0.15">
      <c r="A26" s="1" t="s">
        <v>158</v>
      </c>
      <c r="B26" s="2" t="s">
        <v>147</v>
      </c>
      <c r="C26" s="1" t="s">
        <v>120</v>
      </c>
      <c r="D26" s="1" t="s">
        <v>122</v>
      </c>
      <c r="E26" s="2" t="s">
        <v>123</v>
      </c>
      <c r="F26" s="1">
        <v>1</v>
      </c>
      <c r="G26" s="1">
        <v>1</v>
      </c>
    </row>
    <row r="27" spans="1:7" ht="270" x14ac:dyDescent="0.15">
      <c r="A27" s="1" t="s">
        <v>124</v>
      </c>
      <c r="B27" s="2" t="s">
        <v>159</v>
      </c>
      <c r="C27" s="1" t="s">
        <v>125</v>
      </c>
      <c r="D27" s="1" t="s">
        <v>127</v>
      </c>
      <c r="E27" s="2" t="s">
        <v>128</v>
      </c>
      <c r="F27" s="1">
        <v>0</v>
      </c>
      <c r="G27" s="1">
        <v>1</v>
      </c>
    </row>
    <row r="28" spans="1:7" x14ac:dyDescent="0.15">
      <c r="F28" s="1">
        <f>SUM(F2:F27)</f>
        <v>27</v>
      </c>
      <c r="G28" s="1">
        <f>SUM(G2:G27)</f>
        <v>36</v>
      </c>
    </row>
  </sheetData>
  <phoneticPr fontId="18" type="noConversion"/>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B62BECB-F5ED-4133-A81F-0B99FC86072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comparison</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Jun Yin</dc:creator>
  <cp:lastModifiedBy>Yin Jun</cp:lastModifiedBy>
  <dcterms:created xsi:type="dcterms:W3CDTF">2024-06-14T04:38:09Z</dcterms:created>
  <dcterms:modified xsi:type="dcterms:W3CDTF">2024-06-28T21:19:00Z</dcterms:modified>
</cp:coreProperties>
</file>